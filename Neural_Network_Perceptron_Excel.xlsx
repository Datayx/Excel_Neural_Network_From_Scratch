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zi\Documents\"/>
    </mc:Choice>
  </mc:AlternateContent>
  <xr:revisionPtr revIDLastSave="0" documentId="8_{E0A245A5-8A82-4DD5-A268-7BB231498693}" xr6:coauthVersionLast="47" xr6:coauthVersionMax="47" xr10:uidLastSave="{00000000-0000-0000-0000-000000000000}"/>
  <bookViews>
    <workbookView xWindow="12710" yWindow="0" windowWidth="12980" windowHeight="15370" xr2:uid="{60DA1454-F9D4-4DC1-AE8B-89092CF1E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H3" i="1"/>
  <c r="I3" i="1" s="1"/>
  <c r="J3" i="1" s="1"/>
  <c r="E4" i="1" s="1"/>
  <c r="L3" i="1" l="1"/>
  <c r="G4" i="1" s="1"/>
  <c r="K3" i="1"/>
  <c r="F4" i="1" s="1"/>
  <c r="H4" i="1" l="1"/>
  <c r="I4" i="1" s="1"/>
  <c r="L4" i="1"/>
  <c r="G5" i="1" s="1"/>
  <c r="J4" i="1"/>
  <c r="E5" i="1" s="1"/>
  <c r="K4" i="1"/>
  <c r="F5" i="1" s="1"/>
  <c r="H5" i="1" l="1"/>
  <c r="I5" i="1" s="1"/>
  <c r="L5" i="1" l="1"/>
  <c r="G6" i="1" s="1"/>
  <c r="J5" i="1"/>
  <c r="E6" i="1" s="1"/>
  <c r="K5" i="1"/>
  <c r="F6" i="1" s="1"/>
  <c r="H6" i="1" l="1"/>
  <c r="I6" i="1" s="1"/>
  <c r="L6" i="1" l="1"/>
  <c r="G7" i="1" s="1"/>
  <c r="J6" i="1"/>
  <c r="E7" i="1" s="1"/>
  <c r="K6" i="1"/>
  <c r="F7" i="1" s="1"/>
  <c r="H7" i="1" l="1"/>
  <c r="I7" i="1" s="1"/>
  <c r="K7" i="1" s="1"/>
  <c r="F8" i="1" s="1"/>
  <c r="L7" i="1" l="1"/>
  <c r="G8" i="1" s="1"/>
  <c r="J7" i="1"/>
  <c r="E8" i="1" s="1"/>
  <c r="H8" i="1" s="1"/>
  <c r="I8" i="1" s="1"/>
  <c r="J8" i="1" s="1"/>
  <c r="E9" i="1" s="1"/>
  <c r="K8" i="1" l="1"/>
  <c r="F9" i="1" s="1"/>
  <c r="L8" i="1"/>
  <c r="G9" i="1" s="1"/>
  <c r="H9" i="1" l="1"/>
  <c r="I9" i="1" s="1"/>
  <c r="J9" i="1"/>
  <c r="E10" i="1" s="1"/>
  <c r="K9" i="1" l="1"/>
  <c r="F10" i="1" s="1"/>
  <c r="L9" i="1"/>
  <c r="G10" i="1" s="1"/>
  <c r="H10" i="1" l="1"/>
  <c r="I10" i="1" s="1"/>
  <c r="J10" i="1"/>
  <c r="K10" i="1" l="1"/>
  <c r="L10" i="1"/>
</calcChain>
</file>

<file path=xl/sharedStrings.xml><?xml version="1.0" encoding="utf-8"?>
<sst xmlns="http://schemas.openxmlformats.org/spreadsheetml/2006/main" count="17" uniqueCount="17">
  <si>
    <t>Input 1</t>
  </si>
  <si>
    <t>Input 2</t>
  </si>
  <si>
    <t>Input 3</t>
  </si>
  <si>
    <t>Output 4</t>
  </si>
  <si>
    <t>Training Data</t>
  </si>
  <si>
    <t>Weight 1</t>
  </si>
  <si>
    <t>Bias</t>
  </si>
  <si>
    <t>Weight 2</t>
  </si>
  <si>
    <t>Weight 3</t>
  </si>
  <si>
    <t>Weights</t>
  </si>
  <si>
    <t>Output</t>
  </si>
  <si>
    <t>Weight Tuning</t>
  </si>
  <si>
    <t>Weight 1 Δ</t>
  </si>
  <si>
    <t>Weight 2 Δ</t>
  </si>
  <si>
    <t>Weight 3 Δ</t>
  </si>
  <si>
    <t>MSE:</t>
  </si>
  <si>
    <t>RMSE: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</si>
</sst>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9" fontId="0" fillId="0" borderId="0" xfId="0" applyNumberFormat="1"/>
    <xf numFmtId="0" fontId="0" fillId="4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F02D-908B-4203-B701-2146E7039DF3}">
  <dimension ref="A1:L15"/>
  <sheetViews>
    <sheetView tabSelected="1" zoomScale="84" zoomScaleNormal="84" workbookViewId="0">
      <selection activeCell="D19" sqref="D19"/>
    </sheetView>
  </sheetViews>
  <sheetFormatPr defaultRowHeight="14.5" x14ac:dyDescent="0.35"/>
  <cols>
    <col min="11" max="11" width="11.90625" bestFit="1" customWidth="1"/>
  </cols>
  <sheetData>
    <row r="1" spans="1:12" x14ac:dyDescent="0.35">
      <c r="A1" s="4" t="s">
        <v>4</v>
      </c>
      <c r="B1" s="4"/>
      <c r="C1" s="4"/>
      <c r="D1" s="4"/>
      <c r="E1" s="3" t="s">
        <v>9</v>
      </c>
      <c r="F1" s="3"/>
      <c r="G1" s="3"/>
      <c r="H1" s="2"/>
      <c r="J1" s="6" t="s">
        <v>11</v>
      </c>
      <c r="K1" s="6"/>
      <c r="L1" s="6"/>
    </row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7</v>
      </c>
      <c r="G2" s="1" t="s">
        <v>8</v>
      </c>
      <c r="H2" s="1" t="s">
        <v>6</v>
      </c>
      <c r="I2" s="1" t="s">
        <v>10</v>
      </c>
      <c r="J2" s="1" t="s">
        <v>12</v>
      </c>
      <c r="K2" s="1" t="s">
        <v>13</v>
      </c>
      <c r="L2" s="1" t="s">
        <v>14</v>
      </c>
    </row>
    <row r="3" spans="1:12" x14ac:dyDescent="0.35">
      <c r="A3">
        <v>1</v>
      </c>
      <c r="B3">
        <v>0</v>
      </c>
      <c r="C3">
        <v>1</v>
      </c>
      <c r="D3">
        <v>1</v>
      </c>
      <c r="E3" s="5">
        <v>0.72</v>
      </c>
      <c r="F3" s="5">
        <v>0.77</v>
      </c>
      <c r="G3" s="5">
        <v>0.85</v>
      </c>
      <c r="H3">
        <f>(E3*A3) + (F3*B3) + (G3*C3)</f>
        <v>1.5699999999999998</v>
      </c>
      <c r="I3">
        <f>1/(1+(EXP(-H3)))</f>
        <v>0.82778360826612229</v>
      </c>
      <c r="J3">
        <f>($D3-$I3)*A3*$I3*(1-$I3)</f>
        <v>2.4550808210641317E-2</v>
      </c>
      <c r="K3">
        <f>($D3-$I3)*B3*$I3*(1-$I3)</f>
        <v>0</v>
      </c>
      <c r="L3">
        <f>($D3-$I3)*C3*$I3*(1-$I3)</f>
        <v>2.4550808210641317E-2</v>
      </c>
    </row>
    <row r="4" spans="1:12" x14ac:dyDescent="0.35">
      <c r="A4">
        <v>1</v>
      </c>
      <c r="B4">
        <v>1</v>
      </c>
      <c r="C4">
        <v>0</v>
      </c>
      <c r="D4">
        <v>1</v>
      </c>
      <c r="E4" s="5">
        <f>J3+E3</f>
        <v>0.74455080821064135</v>
      </c>
      <c r="F4" s="5">
        <f>K3+F3</f>
        <v>0.77</v>
      </c>
      <c r="G4" s="5">
        <f>L3+G3</f>
        <v>0.87455080821064124</v>
      </c>
      <c r="H4">
        <f>(E4*A4) + (F4*B4) + (G4*C4)</f>
        <v>1.5145508082106414</v>
      </c>
      <c r="I4">
        <f t="shared" ref="I4:I10" si="0">1/(1+(EXP(-H4)))</f>
        <v>0.81973465737699025</v>
      </c>
      <c r="J4">
        <f>($D4-$I4)*A4*$I4*(1-$I4)</f>
        <v>2.6637764409730553E-2</v>
      </c>
      <c r="K4">
        <f>($D4-$I4)*B4*$I4*(1-$I4)</f>
        <v>2.6637764409730553E-2</v>
      </c>
      <c r="L4">
        <f>($D4-$I4)*C4*$I4*(1-$I4)</f>
        <v>0</v>
      </c>
    </row>
    <row r="5" spans="1:12" x14ac:dyDescent="0.35">
      <c r="A5">
        <v>0</v>
      </c>
      <c r="B5">
        <v>0</v>
      </c>
      <c r="C5">
        <v>0</v>
      </c>
      <c r="D5">
        <v>0</v>
      </c>
      <c r="E5" s="5">
        <f t="shared" ref="E5:E10" si="1">J4+E4</f>
        <v>0.77118857262037188</v>
      </c>
      <c r="F5" s="5">
        <f t="shared" ref="F5:F10" si="2">K4+F4</f>
        <v>0.79663776440973055</v>
      </c>
      <c r="G5" s="5">
        <f t="shared" ref="G5:G10" si="3">L4+G4</f>
        <v>0.87455080821064124</v>
      </c>
      <c r="H5">
        <f>(E5*A5) + (F5*B5) + (G5*C5)</f>
        <v>0</v>
      </c>
      <c r="I5">
        <f t="shared" si="0"/>
        <v>0.5</v>
      </c>
      <c r="J5">
        <f>($D5-$I5)*A5*$I5*(1-$I5)</f>
        <v>0</v>
      </c>
      <c r="K5">
        <f>($D5-$I5)*B5*$I5*(1-$I5)</f>
        <v>0</v>
      </c>
      <c r="L5">
        <f>($D5-$I5)*C5*$I5*(1-$I5)</f>
        <v>0</v>
      </c>
    </row>
    <row r="6" spans="1:12" x14ac:dyDescent="0.35">
      <c r="A6">
        <v>1</v>
      </c>
      <c r="B6">
        <v>1</v>
      </c>
      <c r="C6">
        <v>1</v>
      </c>
      <c r="D6">
        <v>1</v>
      </c>
      <c r="E6" s="5">
        <f t="shared" si="1"/>
        <v>0.77118857262037188</v>
      </c>
      <c r="F6" s="5">
        <f t="shared" si="2"/>
        <v>0.79663776440973055</v>
      </c>
      <c r="G6" s="5">
        <f t="shared" si="3"/>
        <v>0.87455080821064124</v>
      </c>
      <c r="H6">
        <f>(E6*A6) + (F6*B6) + (G6*C6)</f>
        <v>2.4423771452407435</v>
      </c>
      <c r="I6">
        <f t="shared" si="0"/>
        <v>0.92000221605852062</v>
      </c>
      <c r="J6">
        <f>($D6-$I6)*A6*$I6*(1-$I6)</f>
        <v>5.8876879826926035E-3</v>
      </c>
      <c r="K6">
        <f>($D6-$I6)*B6*$I6*(1-$I6)</f>
        <v>5.8876879826926035E-3</v>
      </c>
      <c r="L6">
        <f>($D6-$I6)*C6*$I6*(1-$I6)</f>
        <v>5.8876879826926035E-3</v>
      </c>
    </row>
    <row r="7" spans="1:12" x14ac:dyDescent="0.35">
      <c r="A7">
        <v>1</v>
      </c>
      <c r="B7">
        <v>0</v>
      </c>
      <c r="C7">
        <v>0</v>
      </c>
      <c r="D7">
        <v>1</v>
      </c>
      <c r="E7" s="5">
        <f t="shared" si="1"/>
        <v>0.77707626060306445</v>
      </c>
      <c r="F7" s="5">
        <f t="shared" si="2"/>
        <v>0.80252545239242312</v>
      </c>
      <c r="G7" s="5">
        <f t="shared" si="3"/>
        <v>0.88043849619333381</v>
      </c>
      <c r="H7">
        <f>(E7*A7) + (F7*B7) + (G7*C7)</f>
        <v>0.77707626060306445</v>
      </c>
      <c r="I7">
        <f t="shared" si="0"/>
        <v>0.6850496393352612</v>
      </c>
      <c r="J7">
        <f>($D7-$I7)*A7*$I7*(1-$I7)</f>
        <v>6.7952628743555135E-2</v>
      </c>
      <c r="K7">
        <f>($D7-$I7)*B7*$I7*(1-$I7)</f>
        <v>0</v>
      </c>
      <c r="L7">
        <f>($D7-$I7)*C7*$I7*(1-$I7)</f>
        <v>0</v>
      </c>
    </row>
    <row r="8" spans="1:12" x14ac:dyDescent="0.35">
      <c r="A8">
        <v>0</v>
      </c>
      <c r="B8">
        <v>1</v>
      </c>
      <c r="C8">
        <v>0</v>
      </c>
      <c r="D8">
        <v>0</v>
      </c>
      <c r="E8" s="5">
        <f t="shared" si="1"/>
        <v>0.84502888934661957</v>
      </c>
      <c r="F8" s="5">
        <f t="shared" si="2"/>
        <v>0.80252545239242312</v>
      </c>
      <c r="G8" s="5">
        <f t="shared" si="3"/>
        <v>0.88043849619333381</v>
      </c>
      <c r="H8">
        <f>(E8*A8) + (F8*B8) + (G8*C8)</f>
        <v>0.80252545239242312</v>
      </c>
      <c r="I8">
        <f t="shared" si="0"/>
        <v>0.69051444053832711</v>
      </c>
      <c r="J8">
        <f>($D8-$I8)*A8*$I8*(1-$I8)</f>
        <v>0</v>
      </c>
      <c r="K8">
        <f>($D8-$I8)*B8*$I8*(1-$I8)</f>
        <v>-0.1475658692113504</v>
      </c>
      <c r="L8">
        <f>($D8-$I8)*C8*$I8*(1-$I8)</f>
        <v>0</v>
      </c>
    </row>
    <row r="9" spans="1:12" x14ac:dyDescent="0.35">
      <c r="A9">
        <v>1</v>
      </c>
      <c r="B9">
        <v>0</v>
      </c>
      <c r="C9">
        <v>1</v>
      </c>
      <c r="D9">
        <v>1</v>
      </c>
      <c r="E9" s="5">
        <f t="shared" si="1"/>
        <v>0.84502888934661957</v>
      </c>
      <c r="F9" s="5">
        <f t="shared" si="2"/>
        <v>0.65495958318107272</v>
      </c>
      <c r="G9" s="5">
        <f t="shared" si="3"/>
        <v>0.88043849619333381</v>
      </c>
      <c r="H9">
        <f>(E9*A9) + (F9*B9) + (G9*C9)</f>
        <v>1.7254673855399534</v>
      </c>
      <c r="I9">
        <f t="shared" si="0"/>
        <v>0.84883173051041738</v>
      </c>
      <c r="J9">
        <f>($D9-$I9)*A9*$I9*(1-$I9)</f>
        <v>1.9397371731291298E-2</v>
      </c>
      <c r="K9">
        <f>($D9-$I9)*B9*$I9*(1-$I9)</f>
        <v>0</v>
      </c>
      <c r="L9">
        <f>($D9-$I9)*C9*$I9*(1-$I9)</f>
        <v>1.9397371731291298E-2</v>
      </c>
    </row>
    <row r="10" spans="1:12" x14ac:dyDescent="0.35">
      <c r="A10">
        <v>0</v>
      </c>
      <c r="B10">
        <v>1</v>
      </c>
      <c r="C10">
        <v>1</v>
      </c>
      <c r="D10">
        <v>0</v>
      </c>
      <c r="E10" s="5">
        <f t="shared" si="1"/>
        <v>0.86442626107791087</v>
      </c>
      <c r="F10" s="5">
        <f t="shared" si="2"/>
        <v>0.65495958318107272</v>
      </c>
      <c r="G10" s="5">
        <f t="shared" si="3"/>
        <v>0.89983586792462511</v>
      </c>
      <c r="H10">
        <f>(E10*A10) + (F10*B10) + (G10*C10)</f>
        <v>1.5547954511056978</v>
      </c>
      <c r="I10">
        <f t="shared" si="0"/>
        <v>0.82560526514650001</v>
      </c>
      <c r="J10">
        <f>($D10-$I10)*A10*$I10*(1-$I10)</f>
        <v>0</v>
      </c>
      <c r="K10">
        <f>($D10-$I10)*B10*$I10*(1-$I10)</f>
        <v>-0.11887164613878</v>
      </c>
      <c r="L10">
        <f>($D10-$I10)*C10*$I10*(1-$I10)</f>
        <v>-0.11887164613878</v>
      </c>
    </row>
    <row r="14" spans="1:12" x14ac:dyDescent="0.35">
      <c r="B14" s="7" t="s">
        <v>15</v>
      </c>
      <c r="C14">
        <f>SUMXMY2(D3:D10, I3:I10) / COUNT(D3:D10)</f>
        <v>0.19987919332266008</v>
      </c>
    </row>
    <row r="15" spans="1:12" x14ac:dyDescent="0.35">
      <c r="B15" s="7" t="s">
        <v>16</v>
      </c>
      <c r="C15">
        <f>SQRT(C14)</f>
        <v>0.44707850912637265</v>
      </c>
    </row>
  </sheetData>
  <mergeCells count="3">
    <mergeCell ref="A1:D1"/>
    <mergeCell ref="E1:G1"/>
    <mergeCell ref="J1:L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Yizi Xu Zhou</dc:creator>
  <cp:lastModifiedBy>Yizi Xu Zhou</cp:lastModifiedBy>
  <dcterms:created xsi:type="dcterms:W3CDTF">2025-12-19T15:55:58Z</dcterms:created>
  <dcterms:modified xsi:type="dcterms:W3CDTF">2025-12-19T19:56:46Z</dcterms:modified>
</cp:coreProperties>
</file>